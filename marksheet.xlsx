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8EA8F0C4-FA71-4CC2-8F08-3029D4C55E89}" xr6:coauthVersionLast="47" xr6:coauthVersionMax="47" xr10:uidLastSave="{00000000-0000-0000-0000-000000000000}"/>
  <bookViews>
    <workbookView xWindow="-108" yWindow="-108" windowWidth="23256" windowHeight="14616" xr2:uid="{DD213BAD-82B4-4249-A8ED-348067BF4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3" i="1"/>
  <c r="J4" i="1"/>
  <c r="J5" i="1"/>
  <c r="J6" i="1"/>
  <c r="J7" i="1"/>
  <c r="J8" i="1"/>
  <c r="J3" i="1"/>
  <c r="I4" i="1"/>
  <c r="I5" i="1"/>
  <c r="I6" i="1"/>
  <c r="I7" i="1"/>
  <c r="I8" i="1"/>
  <c r="I3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<sst xmlns="http://schemas.openxmlformats.org/spreadsheetml/2006/main" count="17" uniqueCount="17">
  <si>
    <t>Roll No</t>
  </si>
  <si>
    <t>Name</t>
  </si>
  <si>
    <t>Sub1</t>
  </si>
  <si>
    <t>Sub2</t>
  </si>
  <si>
    <t>Sub3</t>
  </si>
  <si>
    <t>Sub4</t>
  </si>
  <si>
    <t>Sub5</t>
  </si>
  <si>
    <t>Total Marks</t>
  </si>
  <si>
    <t>Percentage</t>
  </si>
  <si>
    <t>Average</t>
  </si>
  <si>
    <t>Division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</si>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</sst>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6592-8E00-4946-885B-DE638103B5E7}">
  <dimension ref="A2:K8"/>
  <sheetViews>
    <sheetView tabSelected="1" zoomScale="103" workbookViewId="0">
      <selection activeCell="H16" sqref="H16"/>
    </sheetView>
  </sheetViews>
  <sheetFormatPr defaultRowHeight="14.4" x14ac:dyDescent="0.3"/>
  <cols>
    <col min="8" max="8" width="11.33203125" customWidth="1"/>
    <col min="9" max="9" width="10.6640625" customWidth="1"/>
    <col min="10" max="10" width="12.33203125" customWidth="1"/>
    <col min="11" max="11" width="13.5546875" customWidth="1"/>
  </cols>
  <sheetData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>
        <v>1</v>
      </c>
      <c r="B3" t="s">
        <v>11</v>
      </c>
      <c r="C3">
        <v>78</v>
      </c>
      <c r="D3">
        <v>69</v>
      </c>
      <c r="E3">
        <v>98</v>
      </c>
      <c r="F3">
        <v>72</v>
      </c>
      <c r="G3">
        <v>34</v>
      </c>
      <c r="H3">
        <f>SUM(C3:G3)</f>
        <v>351</v>
      </c>
      <c r="I3">
        <f>(H3/500)*100</f>
        <v>70.199999999999989</v>
      </c>
      <c r="J3">
        <f>AVERAGE(C3:G3)</f>
        <v>70.2</v>
      </c>
      <c r="K3" t="str">
        <f>IF(G2&gt;65,"1st Division",IF(AND(G2&gt;=45,G2&lt;=65),"2nd Division",IF(AND(G2&gt;=30,G2&lt;45),"3rd Division","Fail")))</f>
        <v>1st Division</v>
      </c>
    </row>
    <row r="4" spans="1:11" x14ac:dyDescent="0.3">
      <c r="A4">
        <v>2</v>
      </c>
      <c r="B4" t="s">
        <v>12</v>
      </c>
      <c r="C4">
        <v>55</v>
      </c>
      <c r="D4">
        <v>61</v>
      </c>
      <c r="E4">
        <v>46</v>
      </c>
      <c r="F4">
        <v>58</v>
      </c>
      <c r="G4">
        <v>77</v>
      </c>
      <c r="H4">
        <f>SUM(C4:G4)</f>
        <v>297</v>
      </c>
      <c r="I4">
        <f t="shared" ref="I4:I8" si="0">(H4/500)*100</f>
        <v>59.4</v>
      </c>
      <c r="J4">
        <f t="shared" ref="J4:J8" si="1">AVERAGE(C4:G4)</f>
        <v>59.4</v>
      </c>
      <c r="K4" t="str">
        <f t="shared" ref="K4:K8" si="2">IF(G3&gt;65,"1st Division",IF(AND(G3&gt;=45,G3&lt;=65),"2nd Division",IF(AND(G3&gt;=30,G3&lt;45),"3rd Division","Fail")))</f>
        <v>3rd Division</v>
      </c>
    </row>
    <row r="5" spans="1:11" x14ac:dyDescent="0.3">
      <c r="A5">
        <v>3</v>
      </c>
      <c r="B5" t="s">
        <v>13</v>
      </c>
      <c r="C5">
        <v>42</v>
      </c>
      <c r="D5">
        <v>48</v>
      </c>
      <c r="E5">
        <v>78</v>
      </c>
      <c r="F5">
        <v>500</v>
      </c>
      <c r="G5">
        <v>69</v>
      </c>
      <c r="H5">
        <f>SUM(C5:G5)</f>
        <v>737</v>
      </c>
      <c r="I5">
        <f t="shared" si="0"/>
        <v>147.4</v>
      </c>
      <c r="J5">
        <f t="shared" si="1"/>
        <v>147.4</v>
      </c>
      <c r="K5" t="str">
        <f t="shared" si="2"/>
        <v>1st Division</v>
      </c>
    </row>
    <row r="6" spans="1:11" x14ac:dyDescent="0.3">
      <c r="A6">
        <v>4</v>
      </c>
      <c r="B6" t="s">
        <v>14</v>
      </c>
      <c r="C6">
        <v>28</v>
      </c>
      <c r="D6">
        <v>35</v>
      </c>
      <c r="E6">
        <v>81</v>
      </c>
      <c r="F6">
        <v>30</v>
      </c>
      <c r="G6">
        <v>90</v>
      </c>
      <c r="H6">
        <f>SUM(C6:G6)</f>
        <v>264</v>
      </c>
      <c r="I6">
        <f t="shared" si="0"/>
        <v>52.800000000000004</v>
      </c>
      <c r="J6">
        <f t="shared" si="1"/>
        <v>52.8</v>
      </c>
      <c r="K6" t="str">
        <f t="shared" si="2"/>
        <v>1st Division</v>
      </c>
    </row>
    <row r="7" spans="1:11" x14ac:dyDescent="0.3">
      <c r="A7">
        <v>5</v>
      </c>
      <c r="B7" t="s">
        <v>15</v>
      </c>
      <c r="C7">
        <v>66</v>
      </c>
      <c r="D7">
        <v>70</v>
      </c>
      <c r="E7">
        <v>27</v>
      </c>
      <c r="F7">
        <v>74</v>
      </c>
      <c r="G7">
        <v>91</v>
      </c>
      <c r="H7">
        <f>SUM(C7:G7)</f>
        <v>328</v>
      </c>
      <c r="I7">
        <f t="shared" si="0"/>
        <v>65.600000000000009</v>
      </c>
      <c r="J7">
        <f t="shared" si="1"/>
        <v>65.599999999999994</v>
      </c>
      <c r="K7" t="str">
        <f t="shared" si="2"/>
        <v>1st Division</v>
      </c>
    </row>
    <row r="8" spans="1:11" x14ac:dyDescent="0.3">
      <c r="A8">
        <v>6</v>
      </c>
      <c r="B8" t="s">
        <v>16</v>
      </c>
      <c r="C8">
        <v>45</v>
      </c>
      <c r="D8">
        <v>47</v>
      </c>
      <c r="E8">
        <v>54</v>
      </c>
      <c r="F8">
        <v>49</v>
      </c>
      <c r="G8">
        <v>92</v>
      </c>
      <c r="H8">
        <f>SUM(C8:G8)</f>
        <v>287</v>
      </c>
      <c r="I8">
        <f t="shared" si="0"/>
        <v>57.4</v>
      </c>
      <c r="J8">
        <f t="shared" si="1"/>
        <v>57.4</v>
      </c>
      <c r="K8" t="str">
        <f t="shared" si="2"/>
        <v>1st Division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Borah</dc:creator>
  <cp:lastModifiedBy>Himanshu Borah</cp:lastModifiedBy>
  <dcterms:created xsi:type="dcterms:W3CDTF">2026-02-05T13:38:33Z</dcterms:created>
  <dcterms:modified xsi:type="dcterms:W3CDTF">2026-02-05T14:31:32Z</dcterms:modified>
</cp:coreProperties>
</file>